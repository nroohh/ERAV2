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roohh/Desktop/ERA/"/>
    </mc:Choice>
  </mc:AlternateContent>
  <xr:revisionPtr revIDLastSave="0" documentId="13_ncr:1_{643A5747-5FFC-3F41-BC6C-0B8C63002321}" xr6:coauthVersionLast="47" xr6:coauthVersionMax="47" xr10:uidLastSave="{00000000-0000-0000-0000-000000000000}"/>
  <bookViews>
    <workbookView xWindow="0" yWindow="500" windowWidth="35840" windowHeight="20640" activeTab="2" xr2:uid="{66884CBB-8EC7-FD4A-B664-A96BCFBC9A08}"/>
  </bookViews>
  <sheets>
    <sheet name="exp(t1)" sheetId="1" r:id="rId1"/>
    <sheet name="exp(t2)" sheetId="4" r:id="rId2"/>
    <sheet name="pi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4" l="1"/>
  <c r="C54" i="4"/>
  <c r="C55" i="4"/>
  <c r="C56" i="4"/>
  <c r="C52" i="4"/>
  <c r="B53" i="4"/>
  <c r="B54" i="4"/>
  <c r="B55" i="4"/>
  <c r="B56" i="4"/>
  <c r="B52" i="4"/>
  <c r="G14" i="3"/>
  <c r="I14" i="3"/>
  <c r="H14" i="3"/>
  <c r="H13" i="3"/>
  <c r="G13" i="3"/>
  <c r="I13" i="3"/>
  <c r="G8" i="3"/>
  <c r="I9" i="3"/>
  <c r="G9" i="3"/>
  <c r="H9" i="3"/>
  <c r="H8" i="3"/>
  <c r="I8" i="3"/>
  <c r="H7" i="3"/>
  <c r="G7" i="3"/>
  <c r="I7" i="3"/>
  <c r="H5" i="3"/>
  <c r="I6" i="3"/>
  <c r="H6" i="3"/>
  <c r="G6" i="3"/>
  <c r="G5" i="3"/>
  <c r="G4" i="3"/>
  <c r="F6" i="3"/>
  <c r="E6" i="3"/>
  <c r="E5" i="3"/>
  <c r="D6" i="3"/>
  <c r="D5" i="3"/>
  <c r="D4" i="3"/>
  <c r="B4" i="3"/>
  <c r="E20" i="1"/>
  <c r="S36" i="1"/>
  <c r="Q8" i="1"/>
  <c r="Q9" i="1" s="1"/>
  <c r="R7" i="1"/>
  <c r="B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B22" i="1" s="1"/>
  <c r="R9" i="1" l="1"/>
  <c r="Q10" i="1"/>
  <c r="R10" i="1" s="1"/>
  <c r="B11" i="1"/>
  <c r="B9" i="1"/>
  <c r="B6" i="1"/>
  <c r="B5" i="1"/>
  <c r="B4" i="1"/>
  <c r="B3" i="1"/>
  <c r="B18" i="1"/>
  <c r="B17" i="1"/>
  <c r="B16" i="1"/>
  <c r="R8" i="1"/>
  <c r="B8" i="1"/>
  <c r="B7" i="1"/>
  <c r="B21" i="1"/>
  <c r="B20" i="1"/>
  <c r="B19" i="1"/>
  <c r="B15" i="1"/>
  <c r="B14" i="1"/>
  <c r="B10" i="1"/>
  <c r="B13" i="1"/>
  <c r="B12" i="1"/>
  <c r="Q11" i="1"/>
  <c r="R11" i="1" l="1"/>
  <c r="Q12" i="1"/>
  <c r="R12" i="1" l="1"/>
  <c r="Q13" i="1"/>
  <c r="R13" i="1" l="1"/>
  <c r="Q14" i="1"/>
  <c r="R14" i="1" l="1"/>
  <c r="Q15" i="1"/>
  <c r="R15" i="1" l="1"/>
  <c r="Q16" i="1"/>
  <c r="Q17" i="1" l="1"/>
  <c r="R16" i="1"/>
  <c r="R17" i="1" l="1"/>
  <c r="Q18" i="1"/>
  <c r="R18" i="1" l="1"/>
  <c r="U15" i="1" s="1"/>
  <c r="Q19" i="1"/>
  <c r="R19" i="1" l="1"/>
  <c r="Q20" i="1"/>
  <c r="R20" i="1" l="1"/>
  <c r="Q21" i="1"/>
  <c r="R21" i="1" s="1"/>
</calcChain>
</file>

<file path=xl/sharedStrings.xml><?xml version="1.0" encoding="utf-8"?>
<sst xmlns="http://schemas.openxmlformats.org/spreadsheetml/2006/main" count="59" uniqueCount="47">
  <si>
    <t>kg</t>
  </si>
  <si>
    <t>input</t>
  </si>
  <si>
    <t>pwm</t>
  </si>
  <si>
    <t>arm length</t>
  </si>
  <si>
    <t>m</t>
  </si>
  <si>
    <t>max servo range: 50</t>
  </si>
  <si>
    <t>x(pwm)</t>
  </si>
  <si>
    <t>y(thrust)</t>
  </si>
  <si>
    <t>r</t>
  </si>
  <si>
    <t>thrust</t>
  </si>
  <si>
    <t>p</t>
  </si>
  <si>
    <t>i</t>
  </si>
  <si>
    <t>d</t>
  </si>
  <si>
    <t>pu</t>
  </si>
  <si>
    <t>ti</t>
  </si>
  <si>
    <t>td</t>
  </si>
  <si>
    <t>tu</t>
  </si>
  <si>
    <t>P</t>
  </si>
  <si>
    <t>PI</t>
  </si>
  <si>
    <t>PID</t>
  </si>
  <si>
    <t>kp</t>
  </si>
  <si>
    <t>ki</t>
  </si>
  <si>
    <t>kd</t>
  </si>
  <si>
    <t>final pid</t>
  </si>
  <si>
    <t>combined</t>
  </si>
  <si>
    <t>independent variables</t>
  </si>
  <si>
    <t>angle</t>
  </si>
  <si>
    <t>dependent variables</t>
  </si>
  <si>
    <t>torque</t>
  </si>
  <si>
    <t>controlled variables</t>
  </si>
  <si>
    <t>force</t>
  </si>
  <si>
    <t>derived variables</t>
  </si>
  <si>
    <t>exp1</t>
  </si>
  <si>
    <t>pwm=2.5</t>
  </si>
  <si>
    <t>exp2</t>
  </si>
  <si>
    <t>pwm=5</t>
  </si>
  <si>
    <t>pwm=7.5</t>
  </si>
  <si>
    <t>exp3</t>
  </si>
  <si>
    <t>angle=45</t>
  </si>
  <si>
    <t>FINAL</t>
  </si>
  <si>
    <t>20cm</t>
  </si>
  <si>
    <t>exp4</t>
  </si>
  <si>
    <t>torque varies approximately linearly with theta in ranges 0&lt;theta&lt;50 with constant thrust</t>
  </si>
  <si>
    <t>torque varies approximately linearly with pwm with constant theta</t>
  </si>
  <si>
    <t>npwm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</si>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</sst>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</a:t>
            </a:r>
            <a:r>
              <a:rPr lang="en-US" baseline="0"/>
              <a:t> vs pwm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'exp(t1)'!$B$5:$B$21</c:f>
              <c:numCache>
                <c:formatCode>General</c:formatCode>
                <c:ptCount val="17"/>
                <c:pt idx="0">
                  <c:v>1150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</c:numCache>
            </c:numRef>
          </c:xVal>
          <c:yVal>
            <c:numRef>
              <c:f>'exp(t1)'!$C$5:$C$21</c:f>
              <c:numCache>
                <c:formatCode>General</c:formatCode>
                <c:ptCount val="17"/>
                <c:pt idx="0">
                  <c:v>16</c:v>
                </c:pt>
                <c:pt idx="1">
                  <c:v>90</c:v>
                </c:pt>
                <c:pt idx="2">
                  <c:v>171</c:v>
                </c:pt>
                <c:pt idx="3">
                  <c:v>222</c:v>
                </c:pt>
                <c:pt idx="4">
                  <c:v>302</c:v>
                </c:pt>
                <c:pt idx="5">
                  <c:v>353</c:v>
                </c:pt>
                <c:pt idx="6">
                  <c:v>426</c:v>
                </c:pt>
                <c:pt idx="7">
                  <c:v>481</c:v>
                </c:pt>
                <c:pt idx="8">
                  <c:v>550</c:v>
                </c:pt>
                <c:pt idx="9">
                  <c:v>610</c:v>
                </c:pt>
                <c:pt idx="10">
                  <c:v>683</c:v>
                </c:pt>
                <c:pt idx="11">
                  <c:v>812</c:v>
                </c:pt>
                <c:pt idx="12">
                  <c:v>875</c:v>
                </c:pt>
                <c:pt idx="13">
                  <c:v>1030</c:v>
                </c:pt>
                <c:pt idx="14">
                  <c:v>1110</c:v>
                </c:pt>
                <c:pt idx="15">
                  <c:v>1230</c:v>
                </c:pt>
                <c:pt idx="16">
                  <c:v>1320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B-C644-953D-EF7B24CAB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920624"/>
        <c:axId val="1229922336"/>
      </c:scatterChart>
      <c:valAx>
        <c:axId val="122992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29922336"/>
        <c:crosses val="autoZero"/>
        <c:crossBetween val="midCat"/>
      </c:valAx>
      <c:valAx>
        <c:axId val="12299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2992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'exp(t1)'!$A$28:$A$41</c:f>
              <c:numCache>
                <c:formatCode>General</c:formatCode>
                <c:ptCount val="1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'exp(t1)'!$B$28:$B$41</c:f>
              <c:numCache>
                <c:formatCode>General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33</c:v>
                </c:pt>
                <c:pt idx="4">
                  <c:v>46</c:v>
                </c:pt>
                <c:pt idx="5">
                  <c:v>56</c:v>
                </c:pt>
                <c:pt idx="6">
                  <c:v>77</c:v>
                </c:pt>
                <c:pt idx="7">
                  <c:v>80</c:v>
                </c:pt>
                <c:pt idx="8">
                  <c:v>90</c:v>
                </c:pt>
                <c:pt idx="9">
                  <c:v>99</c:v>
                </c:pt>
                <c:pt idx="10">
                  <c:v>101</c:v>
                </c:pt>
                <c:pt idx="11">
                  <c:v>90</c:v>
                </c:pt>
                <c:pt idx="12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9-224A-A0BB-9537ECB5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680992"/>
        <c:axId val="1508653344"/>
      </c:scatterChart>
      <c:valAx>
        <c:axId val="150868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53344"/>
        <c:crosses val="autoZero"/>
        <c:crossBetween val="midCat"/>
      </c:valAx>
      <c:valAx>
        <c:axId val="15086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8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'exp(t1)'!$A$43:$A$55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'exp(t1)'!$B$43:$B$55</c:f>
              <c:numCache>
                <c:formatCode>General</c:formatCode>
                <c:ptCount val="13"/>
                <c:pt idx="0">
                  <c:v>2</c:v>
                </c:pt>
                <c:pt idx="1">
                  <c:v>6</c:v>
                </c:pt>
                <c:pt idx="2">
                  <c:v>27</c:v>
                </c:pt>
                <c:pt idx="3">
                  <c:v>63</c:v>
                </c:pt>
                <c:pt idx="4">
                  <c:v>85</c:v>
                </c:pt>
                <c:pt idx="5">
                  <c:v>102</c:v>
                </c:pt>
                <c:pt idx="6">
                  <c:v>137</c:v>
                </c:pt>
                <c:pt idx="7">
                  <c:v>148</c:v>
                </c:pt>
                <c:pt idx="8">
                  <c:v>169</c:v>
                </c:pt>
                <c:pt idx="9">
                  <c:v>184</c:v>
                </c:pt>
                <c:pt idx="10">
                  <c:v>189</c:v>
                </c:pt>
                <c:pt idx="11">
                  <c:v>180</c:v>
                </c:pt>
                <c:pt idx="12">
                  <c:v>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9-FB47-AE97-EC8CE0552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822960"/>
        <c:axId val="1295256096"/>
      </c:scatterChart>
      <c:valAx>
        <c:axId val="129582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256096"/>
        <c:crosses val="autoZero"/>
        <c:crossBetween val="midCat"/>
      </c:valAx>
      <c:valAx>
        <c:axId val="12952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82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'exp(t1)'!$A$28:$A$38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'exp(t1)'!$B$28:$B$38</c:f>
              <c:numCache>
                <c:formatCode>General</c:formatCode>
                <c:ptCount val="11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33</c:v>
                </c:pt>
                <c:pt idx="4">
                  <c:v>46</c:v>
                </c:pt>
                <c:pt idx="5">
                  <c:v>56</c:v>
                </c:pt>
                <c:pt idx="6">
                  <c:v>77</c:v>
                </c:pt>
                <c:pt idx="7">
                  <c:v>80</c:v>
                </c:pt>
                <c:pt idx="8">
                  <c:v>90</c:v>
                </c:pt>
                <c:pt idx="9">
                  <c:v>99</c:v>
                </c:pt>
                <c:pt idx="10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F-E445-BC28-BB745EC7F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680992"/>
        <c:axId val="1508653344"/>
      </c:scatterChart>
      <c:valAx>
        <c:axId val="150868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53344"/>
        <c:crosses val="autoZero"/>
        <c:crossBetween val="midCat"/>
      </c:valAx>
      <c:valAx>
        <c:axId val="15086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8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'exp(t1)'!$A$43:$A$53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'exp(t1)'!$B$43:$B$53</c:f>
              <c:numCache>
                <c:formatCode>General</c:formatCode>
                <c:ptCount val="11"/>
                <c:pt idx="0">
                  <c:v>2</c:v>
                </c:pt>
                <c:pt idx="1">
                  <c:v>6</c:v>
                </c:pt>
                <c:pt idx="2">
                  <c:v>27</c:v>
                </c:pt>
                <c:pt idx="3">
                  <c:v>63</c:v>
                </c:pt>
                <c:pt idx="4">
                  <c:v>85</c:v>
                </c:pt>
                <c:pt idx="5">
                  <c:v>102</c:v>
                </c:pt>
                <c:pt idx="6">
                  <c:v>137</c:v>
                </c:pt>
                <c:pt idx="7">
                  <c:v>148</c:v>
                </c:pt>
                <c:pt idx="8">
                  <c:v>169</c:v>
                </c:pt>
                <c:pt idx="9">
                  <c:v>184</c:v>
                </c:pt>
                <c:pt idx="10">
                  <c:v>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E3-4840-A0E8-A56916B30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822960"/>
        <c:axId val="1295256096"/>
      </c:scatterChart>
      <c:valAx>
        <c:axId val="129582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256096"/>
        <c:crosses val="autoZero"/>
        <c:crossBetween val="midCat"/>
      </c:valAx>
      <c:valAx>
        <c:axId val="12952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82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'exp(t1)'!$A$5:$A$21</c:f>
              <c:numCache>
                <c:formatCode>General</c:formatCode>
                <c:ptCount val="17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</c:numCache>
            </c:numRef>
          </c:xVal>
          <c:yVal>
            <c:numRef>
              <c:f>'exp(t1)'!$C$5:$C$21</c:f>
              <c:numCache>
                <c:formatCode>General</c:formatCode>
                <c:ptCount val="17"/>
                <c:pt idx="0">
                  <c:v>16</c:v>
                </c:pt>
                <c:pt idx="1">
                  <c:v>90</c:v>
                </c:pt>
                <c:pt idx="2">
                  <c:v>171</c:v>
                </c:pt>
                <c:pt idx="3">
                  <c:v>222</c:v>
                </c:pt>
                <c:pt idx="4">
                  <c:v>302</c:v>
                </c:pt>
                <c:pt idx="5">
                  <c:v>353</c:v>
                </c:pt>
                <c:pt idx="6">
                  <c:v>426</c:v>
                </c:pt>
                <c:pt idx="7">
                  <c:v>481</c:v>
                </c:pt>
                <c:pt idx="8">
                  <c:v>550</c:v>
                </c:pt>
                <c:pt idx="9">
                  <c:v>610</c:v>
                </c:pt>
                <c:pt idx="10">
                  <c:v>683</c:v>
                </c:pt>
                <c:pt idx="11">
                  <c:v>812</c:v>
                </c:pt>
                <c:pt idx="12">
                  <c:v>875</c:v>
                </c:pt>
                <c:pt idx="13">
                  <c:v>1030</c:v>
                </c:pt>
                <c:pt idx="14">
                  <c:v>1110</c:v>
                </c:pt>
                <c:pt idx="15">
                  <c:v>1230</c:v>
                </c:pt>
                <c:pt idx="16">
                  <c:v>1320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1-C04D-BDFE-DF4A9867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926304"/>
        <c:axId val="1393172336"/>
      </c:scatterChart>
      <c:valAx>
        <c:axId val="139292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93172336"/>
        <c:crosses val="autoZero"/>
        <c:crossBetween val="midCat"/>
      </c:valAx>
      <c:valAx>
        <c:axId val="13931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9292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'exp(t2)'!$B$16:$B$20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'exp(t2)'!$C$16:$C$20</c:f>
              <c:numCache>
                <c:formatCode>General</c:formatCode>
                <c:ptCount val="5"/>
                <c:pt idx="0">
                  <c:v>18</c:v>
                </c:pt>
                <c:pt idx="1">
                  <c:v>22</c:v>
                </c:pt>
                <c:pt idx="2">
                  <c:v>26</c:v>
                </c:pt>
                <c:pt idx="3">
                  <c:v>25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F-AD4F-A343-F58DAFBBF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69328"/>
        <c:axId val="1941423808"/>
      </c:scatterChart>
      <c:valAx>
        <c:axId val="210576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941423808"/>
        <c:crosses val="autoZero"/>
        <c:crossBetween val="midCat"/>
      </c:valAx>
      <c:valAx>
        <c:axId val="19414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576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'exp(t2)'!$B$24:$B$28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'exp(t2)'!$C$24:$C$28</c:f>
              <c:numCache>
                <c:formatCode>General</c:formatCode>
                <c:ptCount val="5"/>
                <c:pt idx="0">
                  <c:v>55</c:v>
                </c:pt>
                <c:pt idx="1">
                  <c:v>62</c:v>
                </c:pt>
                <c:pt idx="2">
                  <c:v>68</c:v>
                </c:pt>
                <c:pt idx="3">
                  <c:v>71</c:v>
                </c:pt>
                <c:pt idx="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2-6F4F-A912-80C60011E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798384"/>
        <c:axId val="2122803184"/>
      </c:scatterChart>
      <c:valAx>
        <c:axId val="194179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22803184"/>
        <c:crosses val="autoZero"/>
        <c:crossBetween val="midCat"/>
      </c:valAx>
      <c:valAx>
        <c:axId val="21228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9417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'exp(t2)'!$B$34:$B$38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'exp(t2)'!$C$34:$C$38</c:f>
              <c:numCache>
                <c:formatCode>General</c:formatCode>
                <c:ptCount val="5"/>
                <c:pt idx="0">
                  <c:v>104</c:v>
                </c:pt>
                <c:pt idx="1">
                  <c:v>114</c:v>
                </c:pt>
                <c:pt idx="2">
                  <c:v>126</c:v>
                </c:pt>
                <c:pt idx="3">
                  <c:v>134</c:v>
                </c:pt>
                <c:pt idx="4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6-4C47-8EDF-3E7ABE7FA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658687"/>
        <c:axId val="259607871"/>
      </c:scatterChart>
      <c:valAx>
        <c:axId val="25965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59607871"/>
        <c:crosses val="autoZero"/>
        <c:crossBetween val="midCat"/>
      </c:valAx>
      <c:valAx>
        <c:axId val="2596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5965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'exp(t2)'!$B$42:$B$46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'exp(t2)'!$C$42:$C$46</c:f>
              <c:numCache>
                <c:formatCode>General</c:formatCode>
                <c:ptCount val="5"/>
                <c:pt idx="0">
                  <c:v>33</c:v>
                </c:pt>
                <c:pt idx="1">
                  <c:v>52</c:v>
                </c:pt>
                <c:pt idx="2">
                  <c:v>71</c:v>
                </c:pt>
                <c:pt idx="3">
                  <c:v>92</c:v>
                </c:pt>
                <c:pt idx="4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B-864C-BBC2-82BEED18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43520"/>
        <c:axId val="2106390048"/>
      </c:scatterChart>
      <c:valAx>
        <c:axId val="210604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6390048"/>
        <c:crosses val="autoZero"/>
        <c:crossBetween val="midCat"/>
      </c:valAx>
      <c:valAx>
        <c:axId val="21063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604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6883973759702358"/>
                  <c:y val="-2.79819469224868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'exp(t2)'!$B$52:$B$56</c:f>
              <c:numCache>
                <c:formatCode>General</c:formatCode>
                <c:ptCount val="5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</c:numCache>
            </c:numRef>
          </c:xVal>
          <c:yVal>
            <c:numRef>
              <c:f>'exp(t2)'!$C$52:$C$56</c:f>
              <c:numCache>
                <c:formatCode>General</c:formatCode>
                <c:ptCount val="5"/>
                <c:pt idx="0">
                  <c:v>33</c:v>
                </c:pt>
                <c:pt idx="1">
                  <c:v>52</c:v>
                </c:pt>
                <c:pt idx="2">
                  <c:v>71</c:v>
                </c:pt>
                <c:pt idx="3">
                  <c:v>92</c:v>
                </c:pt>
                <c:pt idx="4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5-F543-B9AB-8B4AC65BD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495376"/>
        <c:axId val="2129398912"/>
      </c:scatterChart>
      <c:valAx>
        <c:axId val="211049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29398912"/>
        <c:crosses val="autoZero"/>
        <c:crossBetween val="midCat"/>
      </c:valAx>
      <c:valAx>
        <c:axId val="21293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1049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4373396033829103"/>
                  <c:y val="-0.132569444444444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'exp(t2)'!$B$16:$B$18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'exp(t2)'!$C$16:$C$18</c:f>
              <c:numCache>
                <c:formatCode>General</c:formatCode>
                <c:ptCount val="3"/>
                <c:pt idx="0">
                  <c:v>18</c:v>
                </c:pt>
                <c:pt idx="1">
                  <c:v>22</c:v>
                </c:pt>
                <c:pt idx="2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E-EA44-92D5-A87B2BE5A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994272"/>
        <c:axId val="2027285200"/>
      </c:scatterChart>
      <c:valAx>
        <c:axId val="194899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27285200"/>
        <c:crosses val="autoZero"/>
        <c:crossBetween val="midCat"/>
      </c:valAx>
      <c:valAx>
        <c:axId val="20272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94899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211322543015457"/>
                  <c:y val="-9.090277777777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'exp(t2)'!$B$24:$B$26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'exp(t2)'!$C$24:$C$26</c:f>
              <c:numCache>
                <c:formatCode>General</c:formatCode>
                <c:ptCount val="3"/>
                <c:pt idx="0">
                  <c:v>55</c:v>
                </c:pt>
                <c:pt idx="1">
                  <c:v>62</c:v>
                </c:pt>
                <c:pt idx="2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1-234B-AF70-D0D5B4EA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75472"/>
        <c:axId val="1769966976"/>
      </c:scatterChart>
      <c:valAx>
        <c:axId val="21060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69966976"/>
        <c:crosses val="autoZero"/>
        <c:crossBetween val="midCat"/>
      </c:valAx>
      <c:valAx>
        <c:axId val="17699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607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2558581219014288"/>
                  <c:y val="-0.13951388888888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'exp(t2)'!$B$34:$B$36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'exp(t2)'!$C$34:$C$36</c:f>
              <c:numCache>
                <c:formatCode>General</c:formatCode>
                <c:ptCount val="3"/>
                <c:pt idx="0">
                  <c:v>104</c:v>
                </c:pt>
                <c:pt idx="1">
                  <c:v>114</c:v>
                </c:pt>
                <c:pt idx="2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6-9E4D-AEC6-004650CD3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244160"/>
        <c:axId val="1725730752"/>
      </c:scatterChart>
      <c:valAx>
        <c:axId val="17152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25730752"/>
        <c:crosses val="autoZero"/>
        <c:crossBetween val="midCat"/>
      </c:valAx>
      <c:valAx>
        <c:axId val="17257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524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738021</xdr:colOff>
      <xdr:row>4</xdr:row>
      <xdr:rowOff>36057</xdr:rowOff>
    </xdr:from>
    <xdr:to>
      <xdr:col>9</xdr:col>
      <xdr:colOff>354356</xdr:colOff>
      <xdr:row>17</xdr:row>
      <xdr:rowOff>123803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131D2-6846-9A66-0CD7-C21103B0B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93133</xdr:colOff>
      <xdr:row>26</xdr:row>
      <xdr:rowOff>33867</xdr:rowOff>
    </xdr:from>
    <xdr:to>
      <xdr:col>10</xdr:col>
      <xdr:colOff>516467</xdr:colOff>
      <xdr:row>39</xdr:row>
      <xdr:rowOff>135467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6944C-99F5-77C8-DAEA-F2E610C4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254000</xdr:colOff>
      <xdr:row>40</xdr:row>
      <xdr:rowOff>16933</xdr:rowOff>
    </xdr:from>
    <xdr:to>
      <xdr:col>10</xdr:col>
      <xdr:colOff>677334</xdr:colOff>
      <xdr:row>53</xdr:row>
      <xdr:rowOff>118533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05940F-748C-8FCB-C3C4-A38AC437C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787400</xdr:colOff>
      <xdr:row>26</xdr:row>
      <xdr:rowOff>38100</xdr:rowOff>
    </xdr:from>
    <xdr:to>
      <xdr:col>16</xdr:col>
      <xdr:colOff>385234</xdr:colOff>
      <xdr:row>39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A4BCA7-3196-0949-9CAE-CE28855ED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63500</xdr:colOff>
      <xdr:row>40</xdr:row>
      <xdr:rowOff>63500</xdr:rowOff>
    </xdr:from>
    <xdr:to>
      <xdr:col>16</xdr:col>
      <xdr:colOff>486834</xdr:colOff>
      <xdr:row>53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4203A7-ACDA-1E49-B2AC-0AF41FA9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757767</xdr:colOff>
      <xdr:row>4</xdr:row>
      <xdr:rowOff>33867</xdr:rowOff>
    </xdr:from>
    <xdr:to>
      <xdr:col>14</xdr:col>
      <xdr:colOff>351367</xdr:colOff>
      <xdr:row>17</xdr:row>
      <xdr:rowOff>135467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020E44-8099-3FD1-14FC-42EBADDDE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100137</xdr:colOff>
      <xdr:row>12</xdr:row>
      <xdr:rowOff>159864</xdr:rowOff>
    </xdr:from>
    <xdr:to>
      <xdr:col>9</xdr:col>
      <xdr:colOff>349518</xdr:colOff>
      <xdr:row>21</xdr:row>
      <xdr:rowOff>118300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1F6BC-B96B-3E18-3B1A-CE55E9E5F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104487</xdr:colOff>
      <xdr:row>21</xdr:row>
      <xdr:rowOff>202141</xdr:rowOff>
    </xdr:from>
    <xdr:to>
      <xdr:col>9</xdr:col>
      <xdr:colOff>353868</xdr:colOff>
      <xdr:row>30</xdr:row>
      <xdr:rowOff>160577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899A83-743E-3041-7764-3808E271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87554</xdr:colOff>
      <xdr:row>31</xdr:row>
      <xdr:rowOff>48876</xdr:rowOff>
    </xdr:from>
    <xdr:to>
      <xdr:col>9</xdr:col>
      <xdr:colOff>336935</xdr:colOff>
      <xdr:row>40</xdr:row>
      <xdr:rowOff>7313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855BD0-7585-FDAA-C756-8CA0837A2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91902</xdr:colOff>
      <xdr:row>40</xdr:row>
      <xdr:rowOff>107379</xdr:rowOff>
    </xdr:from>
    <xdr:to>
      <xdr:col>9</xdr:col>
      <xdr:colOff>341283</xdr:colOff>
      <xdr:row>49</xdr:row>
      <xdr:rowOff>70153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259A48-5258-D9F0-49A8-A87888294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86525</xdr:colOff>
      <xdr:row>49</xdr:row>
      <xdr:rowOff>199575</xdr:rowOff>
    </xdr:from>
    <xdr:to>
      <xdr:col>9</xdr:col>
      <xdr:colOff>346421</xdr:colOff>
      <xdr:row>58</xdr:row>
      <xdr:rowOff>191411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AE42E7-5DAD-41DC-C88F-63DBC3CE8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16565</xdr:colOff>
      <xdr:row>12</xdr:row>
      <xdr:rowOff>75096</xdr:rowOff>
    </xdr:from>
    <xdr:to>
      <xdr:col>13</xdr:col>
      <xdr:colOff>274983</xdr:colOff>
      <xdr:row>21</xdr:row>
      <xdr:rowOff>114852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A09A80-B608-1C9D-3118-C16DBAF89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16564</xdr:colOff>
      <xdr:row>21</xdr:row>
      <xdr:rowOff>141356</xdr:rowOff>
    </xdr:from>
    <xdr:to>
      <xdr:col>13</xdr:col>
      <xdr:colOff>274982</xdr:colOff>
      <xdr:row>30</xdr:row>
      <xdr:rowOff>181113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BD3944-40F4-7158-E92E-26D292695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16565</xdr:colOff>
      <xdr:row>31</xdr:row>
      <xdr:rowOff>19878</xdr:rowOff>
    </xdr:from>
    <xdr:to>
      <xdr:col>13</xdr:col>
      <xdr:colOff>274983</xdr:colOff>
      <xdr:row>40</xdr:row>
      <xdr:rowOff>59635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DD1DDE-AD9D-EE5F-F300-01D5F41FE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7498-E666-9642-8EE6-B7F9CF8E785A}">
  <dimension ref="A1:U60"/>
  <sheetViews>
    <sheetView workbookViewId="0">
      <selection activeCell="L57" sqref="L57"/>
    </sheetView>
  </sheetViews>
  <sheetFormatPr baseColWidth="10" defaultRowHeight="16" x14ac:dyDescent="0.2"/>
  <sheetData>
    <row r="1" spans="1:21" x14ac:dyDescent="0.2">
      <c r="A1" t="s">
        <v>1</v>
      </c>
      <c r="B1" t="s">
        <v>2</v>
      </c>
      <c r="C1" t="s">
        <v>0</v>
      </c>
    </row>
    <row r="2" spans="1:21" x14ac:dyDescent="0.2">
      <c r="A2">
        <v>0</v>
      </c>
      <c r="B2">
        <f>1000+A2*100</f>
        <v>1000</v>
      </c>
      <c r="C2">
        <v>0</v>
      </c>
    </row>
    <row r="3" spans="1:21" x14ac:dyDescent="0.2">
      <c r="A3">
        <f>A2+0.5</f>
        <v>0.5</v>
      </c>
      <c r="B3">
        <f t="shared" ref="B3:B22" si="0">1000+A3*100</f>
        <v>1050</v>
      </c>
      <c r="C3">
        <v>0</v>
      </c>
    </row>
    <row r="4" spans="1:21" x14ac:dyDescent="0.2">
      <c r="A4">
        <f t="shared" ref="A4:A22" si="1">A3+0.5</f>
        <v>1</v>
      </c>
      <c r="B4">
        <f t="shared" si="0"/>
        <v>1100</v>
      </c>
      <c r="C4">
        <v>0</v>
      </c>
    </row>
    <row r="5" spans="1:21" x14ac:dyDescent="0.2">
      <c r="A5">
        <f t="shared" si="1"/>
        <v>1.5</v>
      </c>
      <c r="B5">
        <f t="shared" si="0"/>
        <v>1150</v>
      </c>
      <c r="C5">
        <v>16</v>
      </c>
    </row>
    <row r="6" spans="1:21" x14ac:dyDescent="0.2">
      <c r="A6">
        <f t="shared" si="1"/>
        <v>2</v>
      </c>
      <c r="B6">
        <f t="shared" si="0"/>
        <v>1200</v>
      </c>
      <c r="C6">
        <v>90</v>
      </c>
      <c r="Q6" t="s">
        <v>6</v>
      </c>
      <c r="R6" t="s">
        <v>7</v>
      </c>
    </row>
    <row r="7" spans="1:21" x14ac:dyDescent="0.2">
      <c r="A7">
        <f t="shared" si="1"/>
        <v>2.5</v>
      </c>
      <c r="B7">
        <f t="shared" si="0"/>
        <v>1250</v>
      </c>
      <c r="C7">
        <v>171</v>
      </c>
      <c r="Q7">
        <v>2</v>
      </c>
      <c r="R7">
        <f>158.81*Q7-268.71</f>
        <v>48.910000000000025</v>
      </c>
    </row>
    <row r="8" spans="1:21" x14ac:dyDescent="0.2">
      <c r="A8">
        <f t="shared" si="1"/>
        <v>3</v>
      </c>
      <c r="B8">
        <f t="shared" si="0"/>
        <v>1300</v>
      </c>
      <c r="C8">
        <v>222</v>
      </c>
      <c r="Q8">
        <f>Q7+0.5</f>
        <v>2.5</v>
      </c>
      <c r="R8">
        <f t="shared" ref="R8:R21" si="2">158.81*Q8-268.71</f>
        <v>128.315</v>
      </c>
    </row>
    <row r="9" spans="1:21" x14ac:dyDescent="0.2">
      <c r="A9">
        <f t="shared" si="1"/>
        <v>3.5</v>
      </c>
      <c r="B9">
        <f t="shared" si="0"/>
        <v>1350</v>
      </c>
      <c r="C9">
        <v>302</v>
      </c>
      <c r="Q9">
        <f t="shared" ref="Q9:Q19" si="3">Q8+0.5</f>
        <v>3</v>
      </c>
      <c r="R9">
        <f t="shared" si="2"/>
        <v>207.72000000000003</v>
      </c>
    </row>
    <row r="10" spans="1:21" x14ac:dyDescent="0.2">
      <c r="A10">
        <f t="shared" si="1"/>
        <v>4</v>
      </c>
      <c r="B10">
        <f t="shared" si="0"/>
        <v>1400</v>
      </c>
      <c r="C10">
        <v>353</v>
      </c>
      <c r="Q10">
        <f t="shared" si="3"/>
        <v>3.5</v>
      </c>
      <c r="R10">
        <f t="shared" si="2"/>
        <v>287.12500000000006</v>
      </c>
    </row>
    <row r="11" spans="1:21" x14ac:dyDescent="0.2">
      <c r="A11">
        <f t="shared" si="1"/>
        <v>4.5</v>
      </c>
      <c r="B11">
        <f t="shared" si="0"/>
        <v>1450</v>
      </c>
      <c r="C11">
        <v>426</v>
      </c>
      <c r="Q11">
        <f t="shared" si="3"/>
        <v>4</v>
      </c>
      <c r="R11">
        <f t="shared" si="2"/>
        <v>366.53000000000003</v>
      </c>
    </row>
    <row r="12" spans="1:21" x14ac:dyDescent="0.2">
      <c r="A12">
        <f t="shared" si="1"/>
        <v>5</v>
      </c>
      <c r="B12">
        <f t="shared" si="0"/>
        <v>1500</v>
      </c>
      <c r="C12">
        <v>481</v>
      </c>
      <c r="Q12">
        <f t="shared" si="3"/>
        <v>4.5</v>
      </c>
      <c r="R12">
        <f t="shared" si="2"/>
        <v>445.935</v>
      </c>
    </row>
    <row r="13" spans="1:21" x14ac:dyDescent="0.2">
      <c r="A13">
        <f t="shared" si="1"/>
        <v>5.5</v>
      </c>
      <c r="B13">
        <f t="shared" si="0"/>
        <v>1550</v>
      </c>
      <c r="C13">
        <v>550</v>
      </c>
      <c r="Q13">
        <f t="shared" si="3"/>
        <v>5</v>
      </c>
      <c r="R13">
        <f t="shared" si="2"/>
        <v>525.33999999999992</v>
      </c>
    </row>
    <row r="14" spans="1:21" x14ac:dyDescent="0.2">
      <c r="A14">
        <f t="shared" si="1"/>
        <v>6</v>
      </c>
      <c r="B14">
        <f t="shared" si="0"/>
        <v>1600</v>
      </c>
      <c r="C14">
        <v>610</v>
      </c>
      <c r="Q14">
        <f t="shared" si="3"/>
        <v>5.5</v>
      </c>
      <c r="R14">
        <f t="shared" si="2"/>
        <v>604.74500000000012</v>
      </c>
    </row>
    <row r="15" spans="1:21" x14ac:dyDescent="0.2">
      <c r="A15">
        <f t="shared" si="1"/>
        <v>6.5</v>
      </c>
      <c r="B15">
        <f t="shared" si="0"/>
        <v>1650</v>
      </c>
      <c r="C15">
        <v>683</v>
      </c>
      <c r="Q15">
        <f t="shared" si="3"/>
        <v>6</v>
      </c>
      <c r="R15">
        <f t="shared" si="2"/>
        <v>684.15000000000009</v>
      </c>
      <c r="T15" t="s">
        <v>8</v>
      </c>
      <c r="U15">
        <f>R18/R13</f>
        <v>1.7557486580119543</v>
      </c>
    </row>
    <row r="16" spans="1:21" x14ac:dyDescent="0.2">
      <c r="A16">
        <f t="shared" si="1"/>
        <v>7</v>
      </c>
      <c r="B16">
        <f t="shared" si="0"/>
        <v>1700</v>
      </c>
      <c r="C16">
        <v>812</v>
      </c>
      <c r="Q16">
        <f t="shared" si="3"/>
        <v>6.5</v>
      </c>
      <c r="R16">
        <f t="shared" si="2"/>
        <v>763.55500000000006</v>
      </c>
    </row>
    <row r="17" spans="1:18" x14ac:dyDescent="0.2">
      <c r="A17">
        <f t="shared" si="1"/>
        <v>7.5</v>
      </c>
      <c r="B17">
        <f t="shared" si="0"/>
        <v>1750</v>
      </c>
      <c r="C17">
        <v>875</v>
      </c>
      <c r="Q17">
        <f t="shared" si="3"/>
        <v>7</v>
      </c>
      <c r="R17">
        <f t="shared" si="2"/>
        <v>842.96</v>
      </c>
    </row>
    <row r="18" spans="1:18" x14ac:dyDescent="0.2">
      <c r="A18">
        <f t="shared" si="1"/>
        <v>8</v>
      </c>
      <c r="B18">
        <f t="shared" si="0"/>
        <v>1800</v>
      </c>
      <c r="C18">
        <v>1030</v>
      </c>
      <c r="Q18">
        <f t="shared" si="3"/>
        <v>7.5</v>
      </c>
      <c r="R18">
        <f t="shared" si="2"/>
        <v>922.36500000000001</v>
      </c>
    </row>
    <row r="19" spans="1:18" x14ac:dyDescent="0.2">
      <c r="A19">
        <f t="shared" si="1"/>
        <v>8.5</v>
      </c>
      <c r="B19">
        <f t="shared" si="0"/>
        <v>1850</v>
      </c>
      <c r="C19">
        <v>1110</v>
      </c>
      <c r="Q19">
        <f t="shared" si="3"/>
        <v>8</v>
      </c>
      <c r="R19">
        <f t="shared" si="2"/>
        <v>1001.77</v>
      </c>
    </row>
    <row r="20" spans="1:18" x14ac:dyDescent="0.2">
      <c r="A20">
        <f t="shared" si="1"/>
        <v>9</v>
      </c>
      <c r="B20">
        <f t="shared" si="0"/>
        <v>1900</v>
      </c>
      <c r="C20">
        <v>1230</v>
      </c>
      <c r="E20">
        <f>C17/C12</f>
        <v>1.8191268191268191</v>
      </c>
      <c r="G20" t="s">
        <v>45</v>
      </c>
      <c r="H20">
        <v>9.5</v>
      </c>
      <c r="Q20">
        <f>Q19+0.5</f>
        <v>8.5</v>
      </c>
      <c r="R20">
        <f t="shared" si="2"/>
        <v>1081.175</v>
      </c>
    </row>
    <row r="21" spans="1:18" x14ac:dyDescent="0.2">
      <c r="A21">
        <f t="shared" si="1"/>
        <v>9.5</v>
      </c>
      <c r="B21">
        <f t="shared" si="0"/>
        <v>1950</v>
      </c>
      <c r="C21">
        <v>1320</v>
      </c>
      <c r="G21" t="s">
        <v>46</v>
      </c>
      <c r="H21">
        <v>1.5</v>
      </c>
      <c r="Q21">
        <f t="shared" ref="Q21" si="4">Q20+0.5</f>
        <v>9</v>
      </c>
      <c r="R21">
        <f t="shared" si="2"/>
        <v>1160.58</v>
      </c>
    </row>
    <row r="22" spans="1:18" x14ac:dyDescent="0.2">
      <c r="A22">
        <f t="shared" si="1"/>
        <v>10</v>
      </c>
      <c r="B22">
        <f t="shared" si="0"/>
        <v>2000</v>
      </c>
      <c r="C22">
        <v>1310</v>
      </c>
    </row>
    <row r="27" spans="1:18" x14ac:dyDescent="0.2">
      <c r="A27" t="s">
        <v>3</v>
      </c>
      <c r="B27">
        <v>0.14299999999999999</v>
      </c>
      <c r="C27" t="s">
        <v>4</v>
      </c>
    </row>
    <row r="28" spans="1:18" x14ac:dyDescent="0.2">
      <c r="A28">
        <v>0</v>
      </c>
      <c r="B28">
        <v>0</v>
      </c>
    </row>
    <row r="29" spans="1:18" x14ac:dyDescent="0.2">
      <c r="A29">
        <v>5</v>
      </c>
      <c r="B29">
        <v>7</v>
      </c>
    </row>
    <row r="30" spans="1:18" x14ac:dyDescent="0.2">
      <c r="A30">
        <v>10</v>
      </c>
      <c r="B30">
        <v>19</v>
      </c>
    </row>
    <row r="31" spans="1:18" x14ac:dyDescent="0.2">
      <c r="A31">
        <v>15</v>
      </c>
      <c r="B31">
        <v>33</v>
      </c>
    </row>
    <row r="32" spans="1:18" x14ac:dyDescent="0.2">
      <c r="A32">
        <v>20</v>
      </c>
      <c r="B32">
        <v>46</v>
      </c>
    </row>
    <row r="33" spans="1:19" x14ac:dyDescent="0.2">
      <c r="A33">
        <v>25</v>
      </c>
      <c r="B33">
        <v>56</v>
      </c>
    </row>
    <row r="34" spans="1:19" x14ac:dyDescent="0.2">
      <c r="A34">
        <v>30</v>
      </c>
      <c r="B34">
        <v>77</v>
      </c>
    </row>
    <row r="35" spans="1:19" x14ac:dyDescent="0.2">
      <c r="A35">
        <v>35</v>
      </c>
      <c r="B35">
        <v>80</v>
      </c>
    </row>
    <row r="36" spans="1:19" x14ac:dyDescent="0.2">
      <c r="A36">
        <v>40</v>
      </c>
      <c r="B36">
        <v>90</v>
      </c>
      <c r="R36" t="s">
        <v>8</v>
      </c>
      <c r="S36">
        <f>4.1727/2.2018</f>
        <v>1.8951312562448905</v>
      </c>
    </row>
    <row r="37" spans="1:19" x14ac:dyDescent="0.2">
      <c r="A37">
        <v>45</v>
      </c>
      <c r="B37">
        <v>99</v>
      </c>
    </row>
    <row r="38" spans="1:19" x14ac:dyDescent="0.2">
      <c r="A38">
        <v>50</v>
      </c>
      <c r="B38">
        <v>101</v>
      </c>
    </row>
    <row r="39" spans="1:19" x14ac:dyDescent="0.2">
      <c r="A39">
        <v>55</v>
      </c>
      <c r="B39">
        <v>90</v>
      </c>
    </row>
    <row r="40" spans="1:19" x14ac:dyDescent="0.2">
      <c r="A40">
        <v>60</v>
      </c>
      <c r="B40">
        <v>89</v>
      </c>
    </row>
    <row r="43" spans="1:19" x14ac:dyDescent="0.2">
      <c r="A43">
        <v>0</v>
      </c>
      <c r="B43">
        <v>2</v>
      </c>
    </row>
    <row r="44" spans="1:19" x14ac:dyDescent="0.2">
      <c r="A44">
        <v>5</v>
      </c>
      <c r="B44">
        <v>6</v>
      </c>
    </row>
    <row r="45" spans="1:19" x14ac:dyDescent="0.2">
      <c r="A45">
        <v>10</v>
      </c>
      <c r="B45">
        <v>27</v>
      </c>
    </row>
    <row r="46" spans="1:19" x14ac:dyDescent="0.2">
      <c r="A46">
        <v>15</v>
      </c>
      <c r="B46">
        <v>63</v>
      </c>
    </row>
    <row r="47" spans="1:19" x14ac:dyDescent="0.2">
      <c r="A47">
        <v>20</v>
      </c>
      <c r="B47">
        <v>85</v>
      </c>
    </row>
    <row r="48" spans="1:19" x14ac:dyDescent="0.2">
      <c r="A48">
        <v>25</v>
      </c>
      <c r="B48">
        <v>102</v>
      </c>
    </row>
    <row r="49" spans="1:2" x14ac:dyDescent="0.2">
      <c r="A49">
        <v>30</v>
      </c>
      <c r="B49">
        <v>137</v>
      </c>
    </row>
    <row r="50" spans="1:2" x14ac:dyDescent="0.2">
      <c r="A50">
        <v>35</v>
      </c>
      <c r="B50">
        <v>148</v>
      </c>
    </row>
    <row r="51" spans="1:2" x14ac:dyDescent="0.2">
      <c r="A51">
        <v>40</v>
      </c>
      <c r="B51">
        <v>169</v>
      </c>
    </row>
    <row r="52" spans="1:2" x14ac:dyDescent="0.2">
      <c r="A52">
        <v>45</v>
      </c>
      <c r="B52">
        <v>184</v>
      </c>
    </row>
    <row r="53" spans="1:2" x14ac:dyDescent="0.2">
      <c r="A53">
        <v>50</v>
      </c>
      <c r="B53">
        <v>189</v>
      </c>
    </row>
    <row r="54" spans="1:2" x14ac:dyDescent="0.2">
      <c r="A54">
        <v>55</v>
      </c>
      <c r="B54">
        <v>180</v>
      </c>
    </row>
    <row r="55" spans="1:2" x14ac:dyDescent="0.2">
      <c r="A55">
        <v>60</v>
      </c>
      <c r="B55">
        <v>178</v>
      </c>
    </row>
    <row r="60" spans="1:2" x14ac:dyDescent="0.2">
      <c r="A60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61BB-A7D8-534A-B6B9-7A13C18C9B48}">
  <dimension ref="A1:C65"/>
  <sheetViews>
    <sheetView topLeftCell="A11" zoomScale="115" workbookViewId="0">
      <selection activeCell="B34" sqref="B34:C36"/>
    </sheetView>
  </sheetViews>
  <sheetFormatPr baseColWidth="10" defaultRowHeight="16" x14ac:dyDescent="0.2"/>
  <sheetData>
    <row r="1" spans="1:3" x14ac:dyDescent="0.2">
      <c r="A1" t="s">
        <v>25</v>
      </c>
    </row>
    <row r="2" spans="1:3" x14ac:dyDescent="0.2">
      <c r="A2" t="s">
        <v>26</v>
      </c>
    </row>
    <row r="3" spans="1:3" x14ac:dyDescent="0.2">
      <c r="A3" t="s">
        <v>2</v>
      </c>
    </row>
    <row r="5" spans="1:3" x14ac:dyDescent="0.2">
      <c r="A5" t="s">
        <v>27</v>
      </c>
    </row>
    <row r="6" spans="1:3" x14ac:dyDescent="0.2">
      <c r="A6" t="s">
        <v>30</v>
      </c>
    </row>
    <row r="8" spans="1:3" x14ac:dyDescent="0.2">
      <c r="A8" t="s">
        <v>29</v>
      </c>
    </row>
    <row r="9" spans="1:3" x14ac:dyDescent="0.2">
      <c r="A9" t="s">
        <v>3</v>
      </c>
      <c r="B9" t="s">
        <v>40</v>
      </c>
    </row>
    <row r="11" spans="1:3" x14ac:dyDescent="0.2">
      <c r="A11" t="s">
        <v>31</v>
      </c>
    </row>
    <row r="12" spans="1:3" x14ac:dyDescent="0.2">
      <c r="A12" t="s">
        <v>28</v>
      </c>
    </row>
    <row r="14" spans="1:3" x14ac:dyDescent="0.2">
      <c r="B14" t="s">
        <v>33</v>
      </c>
    </row>
    <row r="15" spans="1:3" x14ac:dyDescent="0.2">
      <c r="A15" t="s">
        <v>32</v>
      </c>
      <c r="B15" t="s">
        <v>26</v>
      </c>
      <c r="C15" t="s">
        <v>30</v>
      </c>
    </row>
    <row r="16" spans="1:3" x14ac:dyDescent="0.2">
      <c r="B16">
        <v>30</v>
      </c>
      <c r="C16">
        <v>18</v>
      </c>
    </row>
    <row r="17" spans="1:3" x14ac:dyDescent="0.2">
      <c r="B17">
        <v>40</v>
      </c>
      <c r="C17">
        <v>22</v>
      </c>
    </row>
    <row r="18" spans="1:3" x14ac:dyDescent="0.2">
      <c r="B18">
        <v>50</v>
      </c>
      <c r="C18">
        <v>26</v>
      </c>
    </row>
    <row r="19" spans="1:3" x14ac:dyDescent="0.2">
      <c r="B19">
        <v>60</v>
      </c>
      <c r="C19">
        <v>25</v>
      </c>
    </row>
    <row r="20" spans="1:3" x14ac:dyDescent="0.2">
      <c r="B20">
        <v>70</v>
      </c>
      <c r="C20">
        <v>20</v>
      </c>
    </row>
    <row r="22" spans="1:3" x14ac:dyDescent="0.2">
      <c r="B22" t="s">
        <v>35</v>
      </c>
    </row>
    <row r="23" spans="1:3" x14ac:dyDescent="0.2">
      <c r="A23" t="s">
        <v>34</v>
      </c>
      <c r="B23" t="s">
        <v>26</v>
      </c>
      <c r="C23" t="s">
        <v>30</v>
      </c>
    </row>
    <row r="24" spans="1:3" x14ac:dyDescent="0.2">
      <c r="B24">
        <v>30</v>
      </c>
      <c r="C24">
        <v>55</v>
      </c>
    </row>
    <row r="25" spans="1:3" x14ac:dyDescent="0.2">
      <c r="B25">
        <v>40</v>
      </c>
      <c r="C25">
        <v>62</v>
      </c>
    </row>
    <row r="26" spans="1:3" x14ac:dyDescent="0.2">
      <c r="B26">
        <v>50</v>
      </c>
      <c r="C26">
        <v>68</v>
      </c>
    </row>
    <row r="27" spans="1:3" x14ac:dyDescent="0.2">
      <c r="B27">
        <v>60</v>
      </c>
      <c r="C27">
        <v>71</v>
      </c>
    </row>
    <row r="28" spans="1:3" x14ac:dyDescent="0.2">
      <c r="B28">
        <v>70</v>
      </c>
      <c r="C28">
        <v>60</v>
      </c>
    </row>
    <row r="32" spans="1:3" x14ac:dyDescent="0.2">
      <c r="B32" t="s">
        <v>36</v>
      </c>
    </row>
    <row r="33" spans="1:3" x14ac:dyDescent="0.2">
      <c r="A33" t="s">
        <v>37</v>
      </c>
      <c r="B33" t="s">
        <v>26</v>
      </c>
      <c r="C33" t="s">
        <v>30</v>
      </c>
    </row>
    <row r="34" spans="1:3" x14ac:dyDescent="0.2">
      <c r="B34">
        <v>30</v>
      </c>
      <c r="C34">
        <v>104</v>
      </c>
    </row>
    <row r="35" spans="1:3" x14ac:dyDescent="0.2">
      <c r="B35">
        <v>40</v>
      </c>
      <c r="C35">
        <v>114</v>
      </c>
    </row>
    <row r="36" spans="1:3" x14ac:dyDescent="0.2">
      <c r="B36">
        <v>50</v>
      </c>
      <c r="C36">
        <v>126</v>
      </c>
    </row>
    <row r="37" spans="1:3" x14ac:dyDescent="0.2">
      <c r="B37">
        <v>60</v>
      </c>
      <c r="C37">
        <v>134</v>
      </c>
    </row>
    <row r="38" spans="1:3" x14ac:dyDescent="0.2">
      <c r="B38">
        <v>70</v>
      </c>
      <c r="C38">
        <v>116</v>
      </c>
    </row>
    <row r="40" spans="1:3" x14ac:dyDescent="0.2">
      <c r="B40" t="s">
        <v>38</v>
      </c>
    </row>
    <row r="41" spans="1:3" x14ac:dyDescent="0.2">
      <c r="A41" t="s">
        <v>41</v>
      </c>
      <c r="B41" t="s">
        <v>2</v>
      </c>
      <c r="C41" t="s">
        <v>30</v>
      </c>
    </row>
    <row r="42" spans="1:3" x14ac:dyDescent="0.2">
      <c r="B42">
        <v>3</v>
      </c>
      <c r="C42">
        <v>33</v>
      </c>
    </row>
    <row r="43" spans="1:3" x14ac:dyDescent="0.2">
      <c r="B43">
        <v>4</v>
      </c>
      <c r="C43">
        <v>52</v>
      </c>
    </row>
    <row r="44" spans="1:3" x14ac:dyDescent="0.2">
      <c r="B44">
        <v>5</v>
      </c>
      <c r="C44">
        <v>71</v>
      </c>
    </row>
    <row r="45" spans="1:3" x14ac:dyDescent="0.2">
      <c r="B45">
        <v>6</v>
      </c>
      <c r="C45">
        <v>92</v>
      </c>
    </row>
    <row r="46" spans="1:3" x14ac:dyDescent="0.2">
      <c r="B46">
        <v>7</v>
      </c>
      <c r="C46">
        <v>130</v>
      </c>
    </row>
    <row r="51" spans="1:3" x14ac:dyDescent="0.2">
      <c r="B51" t="s">
        <v>44</v>
      </c>
      <c r="C51" t="s">
        <v>30</v>
      </c>
    </row>
    <row r="52" spans="1:3" x14ac:dyDescent="0.2">
      <c r="B52">
        <f>B42-1.5</f>
        <v>1.5</v>
      </c>
      <c r="C52">
        <f>C42</f>
        <v>33</v>
      </c>
    </row>
    <row r="53" spans="1:3" x14ac:dyDescent="0.2">
      <c r="B53">
        <f t="shared" ref="B53:B56" si="0">B43-1.5</f>
        <v>2.5</v>
      </c>
      <c r="C53">
        <f t="shared" ref="C53:C56" si="1">C43</f>
        <v>52</v>
      </c>
    </row>
    <row r="54" spans="1:3" x14ac:dyDescent="0.2">
      <c r="B54">
        <f t="shared" si="0"/>
        <v>3.5</v>
      </c>
      <c r="C54">
        <f t="shared" si="1"/>
        <v>71</v>
      </c>
    </row>
    <row r="55" spans="1:3" x14ac:dyDescent="0.2">
      <c r="B55">
        <f t="shared" si="0"/>
        <v>4.5</v>
      </c>
      <c r="C55">
        <f t="shared" si="1"/>
        <v>92</v>
      </c>
    </row>
    <row r="56" spans="1:3" x14ac:dyDescent="0.2">
      <c r="B56">
        <f t="shared" si="0"/>
        <v>5.5</v>
      </c>
      <c r="C56">
        <f t="shared" si="1"/>
        <v>130</v>
      </c>
    </row>
    <row r="64" spans="1:3" x14ac:dyDescent="0.2">
      <c r="A64" t="s">
        <v>42</v>
      </c>
    </row>
    <row r="65" spans="1:1" x14ac:dyDescent="0.2">
      <c r="A65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F81-9943-FE4B-B3ED-D8FECE65EEA1}">
  <dimension ref="A1:I14"/>
  <sheetViews>
    <sheetView tabSelected="1" workbookViewId="0">
      <selection activeCell="F29" sqref="F29"/>
    </sheetView>
  </sheetViews>
  <sheetFormatPr baseColWidth="10" defaultRowHeight="16" x14ac:dyDescent="0.2"/>
  <sheetData>
    <row r="1" spans="1:9" x14ac:dyDescent="0.2">
      <c r="A1" t="s">
        <v>9</v>
      </c>
      <c r="B1">
        <v>5</v>
      </c>
    </row>
    <row r="3" spans="1:9" x14ac:dyDescent="0.2">
      <c r="A3" t="s">
        <v>13</v>
      </c>
      <c r="B3">
        <v>-3.5000000000000003E-2</v>
      </c>
      <c r="D3" t="s">
        <v>20</v>
      </c>
      <c r="E3" t="s">
        <v>21</v>
      </c>
      <c r="F3" t="s">
        <v>22</v>
      </c>
      <c r="G3" t="s">
        <v>10</v>
      </c>
      <c r="H3" t="s">
        <v>11</v>
      </c>
      <c r="I3" t="s">
        <v>12</v>
      </c>
    </row>
    <row r="4" spans="1:9" x14ac:dyDescent="0.2">
      <c r="A4" t="s">
        <v>16</v>
      </c>
      <c r="B4">
        <f>27.88/10</f>
        <v>2.7879999999999998</v>
      </c>
      <c r="C4" t="s">
        <v>17</v>
      </c>
      <c r="D4">
        <f>B3/2</f>
        <v>-1.7500000000000002E-2</v>
      </c>
      <c r="G4">
        <f>D4</f>
        <v>-1.7500000000000002E-2</v>
      </c>
    </row>
    <row r="5" spans="1:9" x14ac:dyDescent="0.2">
      <c r="A5" t="s">
        <v>14</v>
      </c>
      <c r="C5" t="s">
        <v>18</v>
      </c>
      <c r="D5">
        <f>B3/2.2</f>
        <v>-1.5909090909090911E-2</v>
      </c>
      <c r="E5">
        <f>B4/1.2</f>
        <v>2.3233333333333333</v>
      </c>
      <c r="G5">
        <f>D5</f>
        <v>-1.5909090909090911E-2</v>
      </c>
      <c r="H5">
        <f>D5/E5</f>
        <v>-6.8475283683318124E-3</v>
      </c>
    </row>
    <row r="6" spans="1:9" x14ac:dyDescent="0.2">
      <c r="A6" t="s">
        <v>15</v>
      </c>
      <c r="C6" t="s">
        <v>19</v>
      </c>
      <c r="D6">
        <f>B3/1.7</f>
        <v>-2.058823529411765E-2</v>
      </c>
      <c r="E6">
        <f>B4/2</f>
        <v>1.3939999999999999</v>
      </c>
      <c r="F6">
        <f>B4/8</f>
        <v>0.34849999999999998</v>
      </c>
      <c r="G6">
        <f>D6</f>
        <v>-2.058823529411765E-2</v>
      </c>
      <c r="H6">
        <f>D6/E6</f>
        <v>-1.4769178833656853E-2</v>
      </c>
      <c r="I6">
        <f>D6*F6</f>
        <v>-7.1750000000000008E-3</v>
      </c>
    </row>
    <row r="7" spans="1:9" x14ac:dyDescent="0.2">
      <c r="G7">
        <f>G6-0.01</f>
        <v>-3.0588235294117652E-2</v>
      </c>
      <c r="H7">
        <f>H6</f>
        <v>-1.4769178833656853E-2</v>
      </c>
      <c r="I7">
        <f>I6-0.001</f>
        <v>-8.1750000000000017E-3</v>
      </c>
    </row>
    <row r="8" spans="1:9" x14ac:dyDescent="0.2">
      <c r="G8">
        <f>G7-0.01</f>
        <v>-4.0588235294117654E-2</v>
      </c>
      <c r="H8">
        <f>H7</f>
        <v>-1.4769178833656853E-2</v>
      </c>
      <c r="I8">
        <f>I7</f>
        <v>-8.1750000000000017E-3</v>
      </c>
    </row>
    <row r="9" spans="1:9" x14ac:dyDescent="0.2">
      <c r="F9" t="s">
        <v>23</v>
      </c>
      <c r="G9">
        <f>G8</f>
        <v>-4.0588235294117654E-2</v>
      </c>
      <c r="H9">
        <f>H8</f>
        <v>-1.4769178833656853E-2</v>
      </c>
      <c r="I9">
        <f>I8-0.001</f>
        <v>-9.1750000000000026E-3</v>
      </c>
    </row>
    <row r="13" spans="1:9" x14ac:dyDescent="0.2">
      <c r="F13" t="s">
        <v>24</v>
      </c>
      <c r="G13">
        <f>G7-0.005</f>
        <v>-3.558823529411765E-2</v>
      </c>
      <c r="H13">
        <f>H8</f>
        <v>-1.4769178833656853E-2</v>
      </c>
      <c r="I13">
        <f>I8</f>
        <v>-8.1750000000000017E-3</v>
      </c>
    </row>
    <row r="14" spans="1:9" x14ac:dyDescent="0.2">
      <c r="F14" t="s">
        <v>39</v>
      </c>
      <c r="G14" s="1">
        <f>G13</f>
        <v>-3.558823529411765E-2</v>
      </c>
      <c r="H14" s="1">
        <f>H13+0.005</f>
        <v>-9.7691788336568518E-3</v>
      </c>
      <c r="I14" s="1">
        <f>I13</f>
        <v>-8.1750000000000017E-3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exp(t1)</vt:lpstr>
      <vt:lpstr>exp(t2)</vt:lpstr>
      <vt:lpstr>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김시우</dc:creator>
  <cp:lastModifiedBy>김시우</cp:lastModifiedBy>
  <dcterms:created xsi:type="dcterms:W3CDTF">2025-12-05T11:48:40Z</dcterms:created>
  <dcterms:modified xsi:type="dcterms:W3CDTF">2025-12-21T09:12:15Z</dcterms:modified>
</cp:coreProperties>
</file>